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<sst xmlns="http://schemas.openxmlformats.org/spreadsheetml/2006/main" count="28" uniqueCount="28">
  <si>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Cout de l'article</t>
  </si>
  <si>
    <t>marge</t>
  </si>
  <si>
    <t>revente 1 impression</t>
  </si>
  <si>
    <t>Tableaux de prix</t>
  </si>
  <si>
    <t>Vetements</t>
  </si>
  <si>
    <t>1 Impresion</t>
  </si>
  <si>
    <t>impression suplementaire/ + que une decoration</t>
  </si>
  <si>
    <t>Broderie 8000st et - 1MX</t>
  </si>
  <si>
    <t>Broderie 8000st et + 2MX</t>
  </si>
  <si>
    <t>MSRP(2x cout)</t>
  </si>
  <si>
    <t>10$+ .80$/1000ST</t>
  </si>
  <si>
    <t>Broderie et/ou impression</t>
  </si>
  <si>
    <t>Nombre de morceaux</t>
  </si>
  <si>
    <t>Nombre de stitches</t>
  </si>
  <si>
    <t>nombre d'emplacement par morceaux</t>
  </si>
  <si>
    <t>Montant à ajouter broderie</t>
  </si>
  <si>
    <t>montant pour impression</t>
  </si>
  <si>
    <t>Total a ajouter par item</t>
  </si>
  <si>
    <t>Rabais Par item</t>
  </si>
  <si>
    <t>Prix Final par item</t>
  </si>
  <si>
    <t>STITCH ESTIMATOR</t>
  </si>
  <si>
    <t>gross margin</t>
  </si>
  <si>
    <t>lOGO DIMENSION</t>
  </si>
  <si>
    <t>LENGH</t>
  </si>
  <si>
    <t>Net margin</t>
  </si>
  <si>
    <t>WIDTH</t>
  </si>
  <si>
    <t>Coverage</t>
  </si>
  <si>
    <t>STITCH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</si>
</sst>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&quot;$&quot;"/>
    <numFmt numFmtId="165" formatCode="&quot;CA$&quot;#,##0.00"/>
    <numFmt numFmtId="166" formatCode="0.0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D9D9D9"/>
      <name val="Arial"/>
      <scheme val="minor"/>
    </font>
    <font>
      <b/>
      <color theme="1"/>
      <name val="Arial"/>
      <scheme val="minor"/>
    </font>
    <font>
      <sz val="9.0"/>
      <color rgb="FFD9D9D9"/>
      <name val="&quot;Google Sans Mono&quot;"/>
    </font>
    <font>
      <sz val="9.0"/>
      <color rgb="FF000000"/>
      <name val="&quot;Google Sans Mono&quot;"/>
    </font>
    <font>
      <b/>
      <sz val="13.0"/>
      <color theme="1"/>
      <name val="Arial"/>
      <scheme val="minor"/>
    </font>
    <font>
      <color rgb="FF000000"/>
      <name val="Arial"/>
      <scheme val="minor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1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2" fillId="2" fontId="1" numFmtId="0" xfId="0" applyBorder="1" applyFont="1"/>
    <xf borderId="3" fillId="2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4" fillId="0" fontId="1" numFmtId="0" xfId="0" applyAlignment="1" applyBorder="1" applyFont="1">
      <alignment horizontal="center" readingOrder="0"/>
    </xf>
    <xf borderId="5" fillId="2" fontId="4" numFmtId="0" xfId="0" applyBorder="1" applyFont="1"/>
    <xf borderId="5" fillId="2" fontId="1" numFmtId="0" xfId="0" applyBorder="1" applyFont="1"/>
    <xf borderId="6" fillId="2" fontId="5" numFmtId="2" xfId="0" applyAlignment="1" applyBorder="1" applyFont="1" applyNumberFormat="1">
      <alignment horizontal="center"/>
    </xf>
    <xf borderId="0" fillId="3" fontId="5" numFmtId="2" xfId="0" applyFill="1" applyFont="1" applyNumberFormat="1"/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2" fillId="2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5" fillId="2" fontId="2" numFmtId="0" xfId="0" applyBorder="1" applyFont="1"/>
    <xf borderId="6" fillId="2" fontId="7" numFmtId="165" xfId="0" applyAlignment="1" applyBorder="1" applyFont="1" applyNumberFormat="1">
      <alignment horizontal="center"/>
    </xf>
    <xf borderId="7" fillId="4" fontId="1" numFmtId="0" xfId="0" applyAlignment="1" applyBorder="1" applyFill="1" applyFont="1">
      <alignment readingOrder="0"/>
    </xf>
    <xf borderId="8" fillId="4" fontId="1" numFmtId="0" xfId="0" applyBorder="1" applyFont="1"/>
    <xf borderId="9" fillId="4" fontId="1" numFmtId="0" xfId="0" applyAlignment="1" applyBorder="1" applyFont="1">
      <alignment readingOrder="0"/>
    </xf>
    <xf borderId="10" fillId="0" fontId="1" numFmtId="9" xfId="0" applyAlignment="1" applyBorder="1" applyFont="1" applyNumberFormat="1">
      <alignment readingOrder="0"/>
    </xf>
    <xf borderId="11" fillId="4" fontId="1" numFmtId="0" xfId="0" applyBorder="1" applyFont="1"/>
    <xf borderId="12" fillId="3" fontId="5" numFmtId="165" xfId="0" applyAlignment="1" applyBorder="1" applyFont="1" applyNumberFormat="1">
      <alignment horizontal="center" readingOrder="0"/>
    </xf>
    <xf borderId="0" fillId="5" fontId="8" numFmtId="166" xfId="0" applyFill="1" applyFont="1" applyNumberFormat="1"/>
    <xf borderId="0" fillId="0" fontId="3" numFmtId="165" xfId="0" applyAlignment="1" applyFont="1" applyNumberFormat="1">
      <alignment readingOrder="0"/>
    </xf>
    <xf borderId="0" fillId="0" fontId="1" numFmtId="10" xfId="0" applyFont="1" applyNumberFormat="1"/>
    <xf borderId="0" fillId="0" fontId="1" numFmtId="9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0" fillId="3" fontId="5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3.13"/>
    <col customWidth="1" min="12" max="12" width="20.0"/>
    <col customWidth="1" min="13" max="13" width="22.5"/>
    <col customWidth="1" min="14" max="14" width="20.0"/>
  </cols>
  <sheetData>
    <row r="1">
      <c r="B1" s="1" t="s">
        <v>0</v>
      </c>
      <c r="C1" s="2" t="s">
        <v>1</v>
      </c>
      <c r="D1" s="3"/>
      <c r="E1" s="4" t="s">
        <v>2</v>
      </c>
      <c r="J1" s="5" t="s">
        <v>3</v>
      </c>
    </row>
    <row r="2" ht="36.75" customHeight="1">
      <c r="B2" s="6">
        <v>7.8</v>
      </c>
      <c r="C2" s="7">
        <f>B2*2</f>
        <v>15.6</v>
      </c>
      <c r="D2" s="8"/>
      <c r="E2" s="9">
        <f>C2+10</f>
        <v>25.6</v>
      </c>
      <c r="F2" s="10"/>
      <c r="J2" s="5" t="s">
        <v>4</v>
      </c>
      <c r="K2" s="5" t="s">
        <v>5</v>
      </c>
      <c r="L2" s="11" t="s">
        <v>6</v>
      </c>
      <c r="M2" s="5" t="s">
        <v>7</v>
      </c>
      <c r="N2" s="5" t="s">
        <v>8</v>
      </c>
    </row>
    <row r="3">
      <c r="J3" s="12" t="s">
        <v>9</v>
      </c>
      <c r="K3" s="13">
        <v>10.0</v>
      </c>
      <c r="L3" s="13">
        <v>6.0</v>
      </c>
      <c r="M3" s="13">
        <v>20.0</v>
      </c>
      <c r="N3" s="12" t="s">
        <v>10</v>
      </c>
    </row>
    <row r="4">
      <c r="M4" s="14"/>
    </row>
    <row r="5">
      <c r="B5" s="15" t="s">
        <v>11</v>
      </c>
    </row>
    <row r="6">
      <c r="B6" s="1" t="s">
        <v>12</v>
      </c>
      <c r="C6" s="16" t="s">
        <v>13</v>
      </c>
      <c r="D6" s="16" t="s">
        <v>14</v>
      </c>
      <c r="E6" s="2" t="s">
        <v>15</v>
      </c>
      <c r="F6" s="2" t="s">
        <v>16</v>
      </c>
      <c r="G6" s="4" t="s">
        <v>17</v>
      </c>
    </row>
    <row r="7">
      <c r="B7" s="6">
        <v>160.0</v>
      </c>
      <c r="C7" s="17"/>
      <c r="D7" s="18">
        <v>1.0</v>
      </c>
      <c r="E7" s="19">
        <f>IF(C7=0, 0, 
   IF(C7&lt;=8000, 
      IF(B7=1, 20, 8), 
      IF(B7=1, 20 + (C7-8000)*0.0008, 8 + (C7-8000)*0.0008)
   )
)
</f>
        <v>0</v>
      </c>
      <c r="F7" s="19">
        <f>IF(D7&lt;=1, 0, (D7-1)*6)
</f>
        <v>0</v>
      </c>
      <c r="G7" s="20">
        <f>E7+F7</f>
        <v>0</v>
      </c>
    </row>
    <row r="10">
      <c r="B10" s="21" t="s">
        <v>18</v>
      </c>
      <c r="C10" s="22"/>
      <c r="D10" s="22"/>
      <c r="E10" s="23" t="s">
        <v>19</v>
      </c>
    </row>
    <row r="11">
      <c r="B11" s="24">
        <f>IF(B7&gt;0,
   IF(B7&lt;=6, 0,
   IF(B7&lt;=9, 5%, IF(B7&lt;=15, 10%,
   IF(B7&lt;=23, 15%,
   IF(B7&lt;=49, 25%,
   IF(B7&lt;=74, 30%,
   IF(B7&lt;=99, 35%,
   IF(B7&lt;=149, 40%,IF(B7&gt;=150, 45%, ""))))))))))</f>
        <v>0.45</v>
      </c>
      <c r="C11" s="25"/>
      <c r="D11" s="25"/>
      <c r="E11" s="26">
        <f>E2+G7-B12</f>
        <v>14.08</v>
      </c>
    </row>
    <row r="12">
      <c r="B12" s="27">
        <f>(E2+G7)*B11</f>
        <v>11.52</v>
      </c>
    </row>
    <row r="13">
      <c r="B13" s="28" t="s">
        <v>20</v>
      </c>
      <c r="E13" s="12" t="s">
        <v>21</v>
      </c>
    </row>
    <row r="14">
      <c r="A14" s="12" t="s">
        <v>22</v>
      </c>
      <c r="C14" s="12"/>
      <c r="E14" s="29">
        <f>(E11-B2)/E11</f>
        <v>0.4460227273</v>
      </c>
    </row>
    <row r="15">
      <c r="A15" s="12" t="s">
        <v>23</v>
      </c>
      <c r="B15" s="12">
        <v>11.0</v>
      </c>
      <c r="E15" s="12" t="s">
        <v>24</v>
      </c>
    </row>
    <row r="16">
      <c r="A16" s="12" t="s">
        <v>25</v>
      </c>
      <c r="B16" s="12">
        <v>4.0</v>
      </c>
      <c r="E16" s="29">
        <f>(E11-B2-(0.62*D7)-(1.125*D7))/E11</f>
        <v>0.3220880682</v>
      </c>
    </row>
    <row r="17">
      <c r="A17" s="12" t="s">
        <v>26</v>
      </c>
      <c r="B17" s="30">
        <v>0.4</v>
      </c>
      <c r="E17" s="31">
        <f>(E11-B2-(0.62*D7)-(1.125*D7))</f>
        <v>4.535</v>
      </c>
    </row>
    <row r="18">
      <c r="A18" s="12" t="s">
        <v>27</v>
      </c>
      <c r="B18" s="32">
        <f>((B15*B16)*B17)*1200</f>
        <v>21120</v>
      </c>
    </row>
    <row r="23">
      <c r="A23" s="33"/>
    </row>
  </sheetData>
  <drawing r:id="rId1"/>
</worksheet>
</file>